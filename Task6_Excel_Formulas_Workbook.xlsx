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Product Reference" sheetId="2" state="visible" r:id="rId2"/>
    <sheet xmlns:r="http://schemas.openxmlformats.org/officeDocument/2006/relationships" name="Formula Practice" sheetId="3" state="visible" r:id="rId3"/>
    <sheet xmlns:r="http://schemas.openxmlformats.org/officeDocument/2006/relationships" name="Interview Notes" sheetId="4" state="visible" r:id="rId4"/>
  </sheets>
  <definedNames>
    <definedName name="_xlnm._FilterDatabase" localSheetId="0" hidden="1">'Transactions'!$A$1:$K$31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ransactionTable" displayName="TransactionTable" ref="A1:K31" headerRowCount="1">
  <autoFilter ref="A1:K31"/>
  <tableColumns count="11">
    <tableColumn id="1" name="Order ID"/>
    <tableColumn id="2" name="Order Date"/>
    <tableColumn id="3" name="Customer"/>
    <tableColumn id="4" name="Region"/>
    <tableColumn id="5" name="Product ID"/>
    <tableColumn id="6" name="Quantity"/>
    <tableColumn id="7" name="Unit Price"/>
    <tableColumn id="8" name="Discount %"/>
    <tableColumn id="9" name="Sales"/>
    <tableColumn id="10" name="Channel"/>
    <tableColumn id="11" name="Email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roductTable" displayName="ProductTable" ref="A1:D9" headerRowCount="1">
  <autoFilter ref="A1:D9"/>
  <tableColumns count="4">
    <tableColumn id="1" name="Product ID"/>
    <tableColumn id="2" name="Product Name"/>
    <tableColumn id="3" name="Category"/>
    <tableColumn id="4" name="List Pric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8" customWidth="1" min="9" max="9"/>
    <col width="13" customWidth="1" min="10" max="10"/>
    <col width="28" customWidth="1" min="11" max="11"/>
  </cols>
  <sheetData>
    <row r="1" ht="3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Region</t>
        </is>
      </c>
      <c r="E1" s="1" t="inlineStr">
        <is>
          <t>Product ID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Discount %</t>
        </is>
      </c>
      <c r="I1" s="1" t="inlineStr">
        <is>
          <t>Sales</t>
        </is>
      </c>
      <c r="J1" s="1" t="inlineStr">
        <is>
          <t>Channel</t>
        </is>
      </c>
      <c r="K1" s="1" t="inlineStr">
        <is>
          <t>Email</t>
        </is>
      </c>
    </row>
    <row r="2">
      <c r="A2" t="inlineStr">
        <is>
          <t>ORD-1001</t>
        </is>
      </c>
      <c r="B2" s="2" t="n">
        <v>46043</v>
      </c>
      <c r="C2" t="inlineStr">
        <is>
          <t>Aarav Shah</t>
        </is>
      </c>
      <c r="D2" t="inlineStr">
        <is>
          <t>North</t>
        </is>
      </c>
      <c r="E2" t="inlineStr">
        <is>
          <t>P1002</t>
        </is>
      </c>
      <c r="F2" t="n">
        <v>8</v>
      </c>
      <c r="G2" s="3" t="n">
        <v>32</v>
      </c>
      <c r="H2" s="4" t="n">
        <v>0.1</v>
      </c>
      <c r="I2" s="3">
        <f>F2*G2*(1-H2)</f>
        <v/>
      </c>
      <c r="J2" t="inlineStr">
        <is>
          <t>Phone</t>
        </is>
      </c>
      <c r="K2" t="inlineStr">
        <is>
          <t>aarav.shah@example.com</t>
        </is>
      </c>
    </row>
    <row r="3">
      <c r="A3" t="inlineStr">
        <is>
          <t>ORD-1002</t>
        </is>
      </c>
      <c r="B3" s="2" t="n">
        <v>46036</v>
      </c>
      <c r="C3" t="inlineStr">
        <is>
          <t>Ishaan Das</t>
        </is>
      </c>
      <c r="D3" t="inlineStr">
        <is>
          <t>West</t>
        </is>
      </c>
      <c r="E3" t="inlineStr">
        <is>
          <t>P1008</t>
        </is>
      </c>
      <c r="F3" t="n">
        <v>6</v>
      </c>
      <c r="G3" s="3" t="n">
        <v>54</v>
      </c>
      <c r="H3" s="4" t="n">
        <v>0.1</v>
      </c>
      <c r="I3" s="3">
        <f>F3*G3*(1-H3)</f>
        <v/>
      </c>
      <c r="J3" t="inlineStr">
        <is>
          <t>Online</t>
        </is>
      </c>
      <c r="K3" t="inlineStr">
        <is>
          <t>ishaan.das@example.com</t>
        </is>
      </c>
    </row>
    <row r="4">
      <c r="A4" t="inlineStr">
        <is>
          <t>ORD-1003</t>
        </is>
      </c>
      <c r="B4" s="2" t="n">
        <v>46160</v>
      </c>
      <c r="C4" t="inlineStr">
        <is>
          <t>Nisha Reddy</t>
        </is>
      </c>
      <c r="D4" t="inlineStr">
        <is>
          <t>South</t>
        </is>
      </c>
      <c r="E4" t="inlineStr">
        <is>
          <t>P1007</t>
        </is>
      </c>
      <c r="F4" t="n">
        <v>2</v>
      </c>
      <c r="G4" s="3" t="n">
        <v>24</v>
      </c>
      <c r="H4" s="4" t="n">
        <v>0.05</v>
      </c>
      <c r="I4" s="3">
        <f>F4*G4*(1-H4)</f>
        <v/>
      </c>
      <c r="J4" t="inlineStr">
        <is>
          <t>Retail</t>
        </is>
      </c>
      <c r="K4" t="inlineStr">
        <is>
          <t>nisha.reddy@example.com</t>
        </is>
      </c>
    </row>
    <row r="5">
      <c r="A5" t="inlineStr">
        <is>
          <t>ORD-1004</t>
        </is>
      </c>
      <c r="B5" s="2" t="n">
        <v>46234</v>
      </c>
      <c r="C5" t="inlineStr">
        <is>
          <t>Ishaan Das</t>
        </is>
      </c>
      <c r="D5" t="inlineStr">
        <is>
          <t>West</t>
        </is>
      </c>
      <c r="E5" t="inlineStr">
        <is>
          <t>P1006</t>
        </is>
      </c>
      <c r="F5" t="n">
        <v>2</v>
      </c>
      <c r="G5" s="3" t="n">
        <v>28</v>
      </c>
      <c r="H5" s="4" t="n">
        <v>0.1</v>
      </c>
      <c r="I5" s="3">
        <f>F5*G5*(1-H5)</f>
        <v/>
      </c>
      <c r="J5" t="inlineStr">
        <is>
          <t>Phone</t>
        </is>
      </c>
      <c r="K5" t="inlineStr">
        <is>
          <t>ishaan.das@example.com</t>
        </is>
      </c>
    </row>
    <row r="6">
      <c r="A6" t="inlineStr">
        <is>
          <t>ORD-1005</t>
        </is>
      </c>
      <c r="B6" s="2" t="n">
        <v>46074</v>
      </c>
      <c r="C6" t="inlineStr">
        <is>
          <t>Aarav Shah</t>
        </is>
      </c>
      <c r="D6" t="inlineStr">
        <is>
          <t>North</t>
        </is>
      </c>
      <c r="E6" t="inlineStr">
        <is>
          <t>P1002</t>
        </is>
      </c>
      <c r="F6" t="n">
        <v>4</v>
      </c>
      <c r="G6" s="3" t="n">
        <v>32</v>
      </c>
      <c r="H6" s="4" t="n">
        <v>0.1</v>
      </c>
      <c r="I6" s="3">
        <f>F6*G6*(1-H6)</f>
        <v/>
      </c>
      <c r="J6" t="inlineStr">
        <is>
          <t>Phone</t>
        </is>
      </c>
      <c r="K6" t="inlineStr">
        <is>
          <t>aarav.shah@example.com</t>
        </is>
      </c>
    </row>
    <row r="7">
      <c r="A7" t="inlineStr">
        <is>
          <t>ORD-1006</t>
        </is>
      </c>
      <c r="B7" s="2" t="n">
        <v>46288</v>
      </c>
      <c r="C7" t="inlineStr">
        <is>
          <t>Nisha Reddy</t>
        </is>
      </c>
      <c r="D7" t="inlineStr">
        <is>
          <t>South</t>
        </is>
      </c>
      <c r="E7" t="inlineStr">
        <is>
          <t>P1006</t>
        </is>
      </c>
      <c r="F7" t="n">
        <v>8</v>
      </c>
      <c r="G7" s="3" t="n">
        <v>28</v>
      </c>
      <c r="H7" s="4" t="n">
        <v>0.05</v>
      </c>
      <c r="I7" s="3">
        <f>F7*G7*(1-H7)</f>
        <v/>
      </c>
      <c r="J7" t="inlineStr">
        <is>
          <t>Phone</t>
        </is>
      </c>
      <c r="K7" t="inlineStr">
        <is>
          <t>nisha.reddy@example.com</t>
        </is>
      </c>
    </row>
    <row r="8">
      <c r="A8" t="inlineStr">
        <is>
          <t>ORD-1007</t>
        </is>
      </c>
      <c r="B8" s="2" t="n">
        <v>46180</v>
      </c>
      <c r="C8" t="inlineStr">
        <is>
          <t>Anaya Patel</t>
        </is>
      </c>
      <c r="D8" t="inlineStr">
        <is>
          <t>South</t>
        </is>
      </c>
      <c r="E8" t="inlineStr">
        <is>
          <t>P1006</t>
        </is>
      </c>
      <c r="F8" t="n">
        <v>4</v>
      </c>
      <c r="G8" s="3" t="n">
        <v>28</v>
      </c>
      <c r="H8" s="4" t="n">
        <v>0.15</v>
      </c>
      <c r="I8" s="3">
        <f>F8*G8*(1-H8)</f>
        <v/>
      </c>
      <c r="J8" t="inlineStr">
        <is>
          <t>Online</t>
        </is>
      </c>
      <c r="K8" t="inlineStr">
        <is>
          <t>anaya.patel@example.com</t>
        </is>
      </c>
    </row>
    <row r="9">
      <c r="A9" t="inlineStr">
        <is>
          <t>ORD-1008</t>
        </is>
      </c>
      <c r="B9" s="2" t="n">
        <v>46184</v>
      </c>
      <c r="C9" t="inlineStr">
        <is>
          <t>Meera Iyer</t>
        </is>
      </c>
      <c r="D9" t="inlineStr">
        <is>
          <t>West</t>
        </is>
      </c>
      <c r="E9" t="inlineStr">
        <is>
          <t>P1004</t>
        </is>
      </c>
      <c r="F9" t="n">
        <v>2</v>
      </c>
      <c r="G9" s="3" t="n">
        <v>7.5</v>
      </c>
      <c r="H9" s="4" t="n">
        <v>0.1</v>
      </c>
      <c r="I9" s="3">
        <f>F9*G9*(1-H9)</f>
        <v/>
      </c>
      <c r="J9" t="inlineStr">
        <is>
          <t>Retail</t>
        </is>
      </c>
      <c r="K9" t="inlineStr">
        <is>
          <t>meera.iyer@example.com</t>
        </is>
      </c>
    </row>
    <row r="10">
      <c r="A10" t="inlineStr">
        <is>
          <t>ORD-1009</t>
        </is>
      </c>
      <c r="B10" s="2" t="n">
        <v>46292</v>
      </c>
      <c r="C10" t="inlineStr">
        <is>
          <t>Aarav Shah</t>
        </is>
      </c>
      <c r="D10" t="inlineStr">
        <is>
          <t>North</t>
        </is>
      </c>
      <c r="E10" t="inlineStr">
        <is>
          <t>P1004</t>
        </is>
      </c>
      <c r="F10" t="n">
        <v>3</v>
      </c>
      <c r="G10" s="3" t="n">
        <v>7.5</v>
      </c>
      <c r="H10" s="4" t="n">
        <v>0.05</v>
      </c>
      <c r="I10" s="3">
        <f>F10*G10*(1-H10)</f>
        <v/>
      </c>
      <c r="J10" t="inlineStr">
        <is>
          <t>Online</t>
        </is>
      </c>
      <c r="K10" t="inlineStr">
        <is>
          <t>aarav.shah@example.com</t>
        </is>
      </c>
    </row>
    <row r="11">
      <c r="A11" t="inlineStr">
        <is>
          <t>ORD-1010</t>
        </is>
      </c>
      <c r="B11" s="2" t="n">
        <v>46216</v>
      </c>
      <c r="C11" t="inlineStr">
        <is>
          <t>Rohan Singh</t>
        </is>
      </c>
      <c r="D11" t="inlineStr">
        <is>
          <t>West</t>
        </is>
      </c>
      <c r="E11" t="inlineStr">
        <is>
          <t>P1001</t>
        </is>
      </c>
      <c r="F11" t="n">
        <v>6</v>
      </c>
      <c r="G11" s="3" t="n">
        <v>18.5</v>
      </c>
      <c r="H11" s="4" t="n">
        <v>0.1</v>
      </c>
      <c r="I11" s="3">
        <f>F11*G11*(1-H11)</f>
        <v/>
      </c>
      <c r="J11" t="inlineStr">
        <is>
          <t>Retail</t>
        </is>
      </c>
      <c r="K11" t="inlineStr">
        <is>
          <t>rohan.singh@example.com</t>
        </is>
      </c>
    </row>
    <row r="12">
      <c r="A12" t="inlineStr">
        <is>
          <t>ORD-1011</t>
        </is>
      </c>
      <c r="B12" s="2" t="n">
        <v>46119</v>
      </c>
      <c r="C12" t="inlineStr">
        <is>
          <t>Rohan Singh</t>
        </is>
      </c>
      <c r="D12" t="inlineStr">
        <is>
          <t>West</t>
        </is>
      </c>
      <c r="E12" t="inlineStr">
        <is>
          <t>P1003</t>
        </is>
      </c>
      <c r="F12" t="n">
        <v>8</v>
      </c>
      <c r="G12" s="3" t="n">
        <v>145</v>
      </c>
      <c r="H12" s="4" t="n">
        <v>0</v>
      </c>
      <c r="I12" s="3">
        <f>F12*G12*(1-H12)</f>
        <v/>
      </c>
      <c r="J12" t="inlineStr">
        <is>
          <t>Online</t>
        </is>
      </c>
      <c r="K12" t="inlineStr">
        <is>
          <t>rohan.singh@example.com</t>
        </is>
      </c>
    </row>
    <row r="13">
      <c r="A13" t="inlineStr">
        <is>
          <t>ORD-1012</t>
        </is>
      </c>
      <c r="B13" s="2" t="n">
        <v>46253</v>
      </c>
      <c r="C13" t="inlineStr">
        <is>
          <t>Sara Khan</t>
        </is>
      </c>
      <c r="D13" t="inlineStr">
        <is>
          <t>West</t>
        </is>
      </c>
      <c r="E13" t="inlineStr">
        <is>
          <t>P1008</t>
        </is>
      </c>
      <c r="F13" t="n">
        <v>4</v>
      </c>
      <c r="G13" s="3" t="n">
        <v>54</v>
      </c>
      <c r="H13" s="4" t="n">
        <v>0</v>
      </c>
      <c r="I13" s="3">
        <f>F13*G13*(1-H13)</f>
        <v/>
      </c>
      <c r="J13" t="inlineStr">
        <is>
          <t>Online</t>
        </is>
      </c>
      <c r="K13" t="inlineStr">
        <is>
          <t>sara.khan@example.com</t>
        </is>
      </c>
    </row>
    <row r="14">
      <c r="A14" t="inlineStr">
        <is>
          <t>ORD-1013</t>
        </is>
      </c>
      <c r="B14" s="2" t="n">
        <v>46234</v>
      </c>
      <c r="C14" t="inlineStr">
        <is>
          <t>Diya Rao</t>
        </is>
      </c>
      <c r="D14" t="inlineStr">
        <is>
          <t>North</t>
        </is>
      </c>
      <c r="E14" t="inlineStr">
        <is>
          <t>P1007</t>
        </is>
      </c>
      <c r="F14" t="n">
        <v>8</v>
      </c>
      <c r="G14" s="3" t="n">
        <v>24</v>
      </c>
      <c r="H14" s="4" t="n">
        <v>0.1</v>
      </c>
      <c r="I14" s="3">
        <f>F14*G14*(1-H14)</f>
        <v/>
      </c>
      <c r="J14" t="inlineStr">
        <is>
          <t>Phone</t>
        </is>
      </c>
      <c r="K14" t="inlineStr">
        <is>
          <t>diya.rao@example.com</t>
        </is>
      </c>
    </row>
    <row r="15">
      <c r="A15" t="inlineStr">
        <is>
          <t>ORD-1014</t>
        </is>
      </c>
      <c r="B15" s="2" t="n">
        <v>46113</v>
      </c>
      <c r="C15" t="inlineStr">
        <is>
          <t>Aarav Shah</t>
        </is>
      </c>
      <c r="D15" t="inlineStr">
        <is>
          <t>South</t>
        </is>
      </c>
      <c r="E15" t="inlineStr">
        <is>
          <t>P1005</t>
        </is>
      </c>
      <c r="F15" t="n">
        <v>8</v>
      </c>
      <c r="G15" s="3" t="n">
        <v>189</v>
      </c>
      <c r="H15" s="4" t="n">
        <v>0.15</v>
      </c>
      <c r="I15" s="3">
        <f>F15*G15*(1-H15)</f>
        <v/>
      </c>
      <c r="J15" t="inlineStr">
        <is>
          <t>Phone</t>
        </is>
      </c>
      <c r="K15" t="inlineStr">
        <is>
          <t>aarav.shah@example.com</t>
        </is>
      </c>
    </row>
    <row r="16">
      <c r="A16" t="inlineStr">
        <is>
          <t>ORD-1015</t>
        </is>
      </c>
      <c r="B16" s="2" t="n">
        <v>46121</v>
      </c>
      <c r="C16" t="inlineStr">
        <is>
          <t>Ishaan Das</t>
        </is>
      </c>
      <c r="D16" t="inlineStr">
        <is>
          <t>West</t>
        </is>
      </c>
      <c r="E16" t="inlineStr">
        <is>
          <t>P1002</t>
        </is>
      </c>
      <c r="F16" t="n">
        <v>5</v>
      </c>
      <c r="G16" s="3" t="n">
        <v>32</v>
      </c>
      <c r="H16" s="4" t="n">
        <v>0.1</v>
      </c>
      <c r="I16" s="3">
        <f>F16*G16*(1-H16)</f>
        <v/>
      </c>
      <c r="J16" t="inlineStr">
        <is>
          <t>Retail</t>
        </is>
      </c>
      <c r="K16" t="inlineStr">
        <is>
          <t>ishaan.das@example.com</t>
        </is>
      </c>
    </row>
    <row r="17">
      <c r="A17" t="inlineStr">
        <is>
          <t>ORD-1016</t>
        </is>
      </c>
      <c r="B17" s="2" t="n">
        <v>46273</v>
      </c>
      <c r="C17" t="inlineStr">
        <is>
          <t>Ishaan Das</t>
        </is>
      </c>
      <c r="D17" t="inlineStr">
        <is>
          <t>West</t>
        </is>
      </c>
      <c r="E17" t="inlineStr">
        <is>
          <t>P1005</t>
        </is>
      </c>
      <c r="F17" t="n">
        <v>7</v>
      </c>
      <c r="G17" s="3" t="n">
        <v>189</v>
      </c>
      <c r="H17" s="4" t="n">
        <v>0.15</v>
      </c>
      <c r="I17" s="3">
        <f>F17*G17*(1-H17)</f>
        <v/>
      </c>
      <c r="J17" t="inlineStr">
        <is>
          <t>Phone</t>
        </is>
      </c>
      <c r="K17" t="inlineStr">
        <is>
          <t>ishaan.das@example.com</t>
        </is>
      </c>
    </row>
    <row r="18">
      <c r="A18" t="inlineStr">
        <is>
          <t>ORD-1017</t>
        </is>
      </c>
      <c r="B18" s="2" t="n">
        <v>46218</v>
      </c>
      <c r="C18" t="inlineStr">
        <is>
          <t>Sara Khan</t>
        </is>
      </c>
      <c r="D18" t="inlineStr">
        <is>
          <t>East</t>
        </is>
      </c>
      <c r="E18" t="inlineStr">
        <is>
          <t>P1008</t>
        </is>
      </c>
      <c r="F18" t="n">
        <v>8</v>
      </c>
      <c r="G18" s="3" t="n">
        <v>54</v>
      </c>
      <c r="H18" s="4" t="n">
        <v>0.05</v>
      </c>
      <c r="I18" s="3">
        <f>F18*G18*(1-H18)</f>
        <v/>
      </c>
      <c r="J18" t="inlineStr">
        <is>
          <t>Phone</t>
        </is>
      </c>
      <c r="K18" t="inlineStr">
        <is>
          <t>sara.khan@example.com</t>
        </is>
      </c>
    </row>
    <row r="19">
      <c r="A19" t="inlineStr">
        <is>
          <t>ORD-1018</t>
        </is>
      </c>
      <c r="B19" s="2" t="n">
        <v>46108</v>
      </c>
      <c r="C19" t="inlineStr">
        <is>
          <t>Nisha Reddy</t>
        </is>
      </c>
      <c r="D19" t="inlineStr">
        <is>
          <t>West</t>
        </is>
      </c>
      <c r="E19" t="inlineStr">
        <is>
          <t>P1008</t>
        </is>
      </c>
      <c r="F19" t="n">
        <v>6</v>
      </c>
      <c r="G19" s="3" t="n">
        <v>54</v>
      </c>
      <c r="H19" s="4" t="n">
        <v>0.1</v>
      </c>
      <c r="I19" s="3">
        <f>F19*G19*(1-H19)</f>
        <v/>
      </c>
      <c r="J19" t="inlineStr">
        <is>
          <t>Phone</t>
        </is>
      </c>
      <c r="K19" t="inlineStr">
        <is>
          <t>nisha.reddy@example.com</t>
        </is>
      </c>
    </row>
    <row r="20">
      <c r="A20" t="inlineStr">
        <is>
          <t>ORD-1019</t>
        </is>
      </c>
      <c r="B20" s="2" t="n">
        <v>46274</v>
      </c>
      <c r="C20" t="inlineStr">
        <is>
          <t>Kabir Nair</t>
        </is>
      </c>
      <c r="D20" t="inlineStr">
        <is>
          <t>East</t>
        </is>
      </c>
      <c r="E20" t="inlineStr">
        <is>
          <t>P1005</t>
        </is>
      </c>
      <c r="F20" t="n">
        <v>6</v>
      </c>
      <c r="G20" s="3" t="n">
        <v>189</v>
      </c>
      <c r="H20" s="4" t="n">
        <v>0.15</v>
      </c>
      <c r="I20" s="3">
        <f>F20*G20*(1-H20)</f>
        <v/>
      </c>
      <c r="J20" t="inlineStr">
        <is>
          <t>Phone</t>
        </is>
      </c>
      <c r="K20" t="inlineStr">
        <is>
          <t>kabir.nair@example.com</t>
        </is>
      </c>
    </row>
    <row r="21">
      <c r="A21" t="inlineStr">
        <is>
          <t>ORD-1020</t>
        </is>
      </c>
      <c r="B21" s="2" t="n">
        <v>46118</v>
      </c>
      <c r="C21" t="inlineStr">
        <is>
          <t>Aarav Shah</t>
        </is>
      </c>
      <c r="D21" t="inlineStr">
        <is>
          <t>South</t>
        </is>
      </c>
      <c r="E21" t="inlineStr">
        <is>
          <t>P1001</t>
        </is>
      </c>
      <c r="F21" t="n">
        <v>8</v>
      </c>
      <c r="G21" s="3" t="n">
        <v>18.5</v>
      </c>
      <c r="H21" s="4" t="n">
        <v>0</v>
      </c>
      <c r="I21" s="3">
        <f>F21*G21*(1-H21)</f>
        <v/>
      </c>
      <c r="J21" t="inlineStr">
        <is>
          <t>Phone</t>
        </is>
      </c>
      <c r="K21" t="inlineStr">
        <is>
          <t>aarav.shah@example.com</t>
        </is>
      </c>
    </row>
    <row r="22">
      <c r="A22" t="inlineStr">
        <is>
          <t>ORD-1021</t>
        </is>
      </c>
      <c r="B22" s="2" t="n">
        <v>46056</v>
      </c>
      <c r="C22" t="inlineStr">
        <is>
          <t>Meera Iyer</t>
        </is>
      </c>
      <c r="D22" t="inlineStr">
        <is>
          <t>North</t>
        </is>
      </c>
      <c r="E22" t="inlineStr">
        <is>
          <t>P1006</t>
        </is>
      </c>
      <c r="F22" t="n">
        <v>6</v>
      </c>
      <c r="G22" s="3" t="n">
        <v>28</v>
      </c>
      <c r="H22" s="4" t="n">
        <v>0.15</v>
      </c>
      <c r="I22" s="3">
        <f>F22*G22*(1-H22)</f>
        <v/>
      </c>
      <c r="J22" t="inlineStr">
        <is>
          <t>Retail</t>
        </is>
      </c>
      <c r="K22" t="inlineStr">
        <is>
          <t>meera.iyer@example.com</t>
        </is>
      </c>
    </row>
    <row r="23">
      <c r="A23" t="inlineStr">
        <is>
          <t>ORD-1022</t>
        </is>
      </c>
      <c r="B23" s="2" t="n">
        <v>46063</v>
      </c>
      <c r="C23" t="inlineStr">
        <is>
          <t>Sara Khan</t>
        </is>
      </c>
      <c r="D23" t="inlineStr">
        <is>
          <t>North</t>
        </is>
      </c>
      <c r="E23" t="inlineStr">
        <is>
          <t>P1001</t>
        </is>
      </c>
      <c r="F23" t="n">
        <v>7</v>
      </c>
      <c r="G23" s="3" t="n">
        <v>18.5</v>
      </c>
      <c r="H23" s="4" t="n">
        <v>0.15</v>
      </c>
      <c r="I23" s="3">
        <f>F23*G23*(1-H23)</f>
        <v/>
      </c>
      <c r="J23" t="inlineStr">
        <is>
          <t>Online</t>
        </is>
      </c>
      <c r="K23" t="inlineStr">
        <is>
          <t>sara.khan@example.com</t>
        </is>
      </c>
    </row>
    <row r="24">
      <c r="A24" t="inlineStr">
        <is>
          <t>ORD-1023</t>
        </is>
      </c>
      <c r="B24" s="2" t="n">
        <v>46149</v>
      </c>
      <c r="C24" t="inlineStr">
        <is>
          <t>Nisha Reddy</t>
        </is>
      </c>
      <c r="D24" t="inlineStr">
        <is>
          <t>East</t>
        </is>
      </c>
      <c r="E24" t="inlineStr">
        <is>
          <t>P1006</t>
        </is>
      </c>
      <c r="F24" t="n">
        <v>6</v>
      </c>
      <c r="G24" s="3" t="n">
        <v>28</v>
      </c>
      <c r="H24" s="4" t="n">
        <v>0.05</v>
      </c>
      <c r="I24" s="3">
        <f>F24*G24*(1-H24)</f>
        <v/>
      </c>
      <c r="J24" t="inlineStr">
        <is>
          <t>Online</t>
        </is>
      </c>
      <c r="K24" t="inlineStr">
        <is>
          <t>nisha.reddy@example.com</t>
        </is>
      </c>
    </row>
    <row r="25">
      <c r="A25" t="inlineStr">
        <is>
          <t>ORD-1024</t>
        </is>
      </c>
      <c r="B25" s="2" t="n">
        <v>46048</v>
      </c>
      <c r="C25" t="inlineStr">
        <is>
          <t>Sara Khan</t>
        </is>
      </c>
      <c r="D25" t="inlineStr">
        <is>
          <t>West</t>
        </is>
      </c>
      <c r="E25" t="inlineStr">
        <is>
          <t>P1001</t>
        </is>
      </c>
      <c r="F25" t="n">
        <v>2</v>
      </c>
      <c r="G25" s="3" t="n">
        <v>18.5</v>
      </c>
      <c r="H25" s="4" t="n">
        <v>0</v>
      </c>
      <c r="I25" s="3">
        <f>F25*G25*(1-H25)</f>
        <v/>
      </c>
      <c r="J25" t="inlineStr">
        <is>
          <t>Phone</t>
        </is>
      </c>
      <c r="K25" t="inlineStr">
        <is>
          <t>sara.khan@example.com</t>
        </is>
      </c>
    </row>
    <row r="26">
      <c r="A26" t="inlineStr">
        <is>
          <t>ORD-1025</t>
        </is>
      </c>
      <c r="B26" s="2" t="n">
        <v>46067</v>
      </c>
      <c r="C26" t="inlineStr">
        <is>
          <t>Kabir Nair</t>
        </is>
      </c>
      <c r="D26" t="inlineStr">
        <is>
          <t>East</t>
        </is>
      </c>
      <c r="E26" t="inlineStr">
        <is>
          <t>P1002</t>
        </is>
      </c>
      <c r="F26" t="n">
        <v>1</v>
      </c>
      <c r="G26" s="3" t="n">
        <v>32</v>
      </c>
      <c r="H26" s="4" t="n">
        <v>0.05</v>
      </c>
      <c r="I26" s="3">
        <f>F26*G26*(1-H26)</f>
        <v/>
      </c>
      <c r="J26" t="inlineStr">
        <is>
          <t>Phone</t>
        </is>
      </c>
      <c r="K26" t="inlineStr">
        <is>
          <t>kabir.nair@example.com</t>
        </is>
      </c>
    </row>
    <row r="27">
      <c r="A27" t="inlineStr">
        <is>
          <t>ORD-1026</t>
        </is>
      </c>
      <c r="B27" s="2" t="n">
        <v>46095</v>
      </c>
      <c r="C27" t="inlineStr">
        <is>
          <t>Meera Iyer</t>
        </is>
      </c>
      <c r="D27" t="inlineStr">
        <is>
          <t>West</t>
        </is>
      </c>
      <c r="E27" t="inlineStr">
        <is>
          <t>P1008</t>
        </is>
      </c>
      <c r="F27" t="n">
        <v>8</v>
      </c>
      <c r="G27" s="3" t="n">
        <v>54</v>
      </c>
      <c r="H27" s="4" t="n">
        <v>0</v>
      </c>
      <c r="I27" s="3">
        <f>F27*G27*(1-H27)</f>
        <v/>
      </c>
      <c r="J27" t="inlineStr">
        <is>
          <t>Retail</t>
        </is>
      </c>
      <c r="K27" t="inlineStr">
        <is>
          <t>meera.iyer@example.com</t>
        </is>
      </c>
    </row>
    <row r="28">
      <c r="A28" t="inlineStr">
        <is>
          <t>ORD-1027</t>
        </is>
      </c>
      <c r="B28" s="2" t="n">
        <v>46269</v>
      </c>
      <c r="C28" t="inlineStr">
        <is>
          <t>Nisha Reddy</t>
        </is>
      </c>
      <c r="D28" t="inlineStr">
        <is>
          <t>South</t>
        </is>
      </c>
      <c r="E28" t="inlineStr">
        <is>
          <t>P1008</t>
        </is>
      </c>
      <c r="F28" t="n">
        <v>8</v>
      </c>
      <c r="G28" s="3" t="n">
        <v>54</v>
      </c>
      <c r="H28" s="4" t="n">
        <v>0.1</v>
      </c>
      <c r="I28" s="3">
        <f>F28*G28*(1-H28)</f>
        <v/>
      </c>
      <c r="J28" t="inlineStr">
        <is>
          <t>Retail</t>
        </is>
      </c>
      <c r="K28" t="inlineStr">
        <is>
          <t>nisha.reddy@example.com</t>
        </is>
      </c>
    </row>
    <row r="29">
      <c r="A29" t="inlineStr">
        <is>
          <t>ORD-1028</t>
        </is>
      </c>
      <c r="B29" s="2" t="n">
        <v>46042</v>
      </c>
      <c r="C29" t="inlineStr">
        <is>
          <t>Diya Rao</t>
        </is>
      </c>
      <c r="D29" t="inlineStr">
        <is>
          <t>East</t>
        </is>
      </c>
      <c r="E29" t="inlineStr">
        <is>
          <t>P1006</t>
        </is>
      </c>
      <c r="F29" t="n">
        <v>5</v>
      </c>
      <c r="G29" s="3" t="n">
        <v>28</v>
      </c>
      <c r="H29" s="4" t="n">
        <v>0.1</v>
      </c>
      <c r="I29" s="3">
        <f>F29*G29*(1-H29)</f>
        <v/>
      </c>
      <c r="J29" t="inlineStr">
        <is>
          <t>Retail</t>
        </is>
      </c>
      <c r="K29" t="inlineStr">
        <is>
          <t>diya.rao@example.com</t>
        </is>
      </c>
    </row>
    <row r="30">
      <c r="A30" t="inlineStr">
        <is>
          <t>ORD-1029</t>
        </is>
      </c>
      <c r="B30" s="2" t="n">
        <v>46252</v>
      </c>
      <c r="C30" t="inlineStr">
        <is>
          <t>Anaya Patel</t>
        </is>
      </c>
      <c r="D30" t="inlineStr">
        <is>
          <t>South</t>
        </is>
      </c>
      <c r="E30" t="inlineStr">
        <is>
          <t>P1005</t>
        </is>
      </c>
      <c r="F30" t="n">
        <v>8</v>
      </c>
      <c r="G30" s="3" t="n">
        <v>189</v>
      </c>
      <c r="H30" s="4" t="n">
        <v>0.15</v>
      </c>
      <c r="I30" s="3">
        <f>F30*G30*(1-H30)</f>
        <v/>
      </c>
      <c r="J30" t="inlineStr">
        <is>
          <t>Phone</t>
        </is>
      </c>
      <c r="K30" t="inlineStr">
        <is>
          <t>anaya.patel@example.com</t>
        </is>
      </c>
    </row>
    <row r="31">
      <c r="A31" t="inlineStr">
        <is>
          <t>ORD-1030</t>
        </is>
      </c>
      <c r="B31" s="2" t="n">
        <v>46041</v>
      </c>
      <c r="C31" t="inlineStr">
        <is>
          <t>Kabir Nair</t>
        </is>
      </c>
      <c r="D31" t="inlineStr">
        <is>
          <t>East</t>
        </is>
      </c>
      <c r="E31" t="inlineStr">
        <is>
          <t>P1002</t>
        </is>
      </c>
      <c r="F31" t="n">
        <v>4</v>
      </c>
      <c r="G31" s="3" t="n">
        <v>32</v>
      </c>
      <c r="H31" s="4" t="n">
        <v>0.05</v>
      </c>
      <c r="I31" s="3">
        <f>F31*G31*(1-H31)</f>
        <v/>
      </c>
      <c r="J31" t="inlineStr">
        <is>
          <t>Retail</t>
        </is>
      </c>
      <c r="K31" t="inlineStr">
        <is>
          <t>kabir.nair@example.com</t>
        </is>
      </c>
    </row>
  </sheetData>
  <autoFilter ref="A1:K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3" customWidth="1" min="3" max="3"/>
    <col width="13" customWidth="1" min="4" max="4"/>
  </cols>
  <sheetData>
    <row r="1" ht="30" customHeight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List Price</t>
        </is>
      </c>
    </row>
    <row r="2">
      <c r="A2" t="inlineStr">
        <is>
          <t>P1001</t>
        </is>
      </c>
      <c r="B2" t="inlineStr">
        <is>
          <t>Wireless Mouse</t>
        </is>
      </c>
      <c r="C2" t="inlineStr">
        <is>
          <t>Accessories</t>
        </is>
      </c>
      <c r="D2" t="n">
        <v>18.5</v>
      </c>
    </row>
    <row r="3">
      <c r="A3" t="inlineStr">
        <is>
          <t>P1002</t>
        </is>
      </c>
      <c r="B3" t="inlineStr">
        <is>
          <t>USB-C Hub</t>
        </is>
      </c>
      <c r="C3" t="inlineStr">
        <is>
          <t>Accessories</t>
        </is>
      </c>
      <c r="D3" t="n">
        <v>32</v>
      </c>
    </row>
    <row r="4">
      <c r="A4" t="inlineStr">
        <is>
          <t>P1003</t>
        </is>
      </c>
      <c r="B4" t="inlineStr">
        <is>
          <t>Office Chair</t>
        </is>
      </c>
      <c r="C4" t="inlineStr">
        <is>
          <t>Furniture</t>
        </is>
      </c>
      <c r="D4" t="n">
        <v>145</v>
      </c>
    </row>
    <row r="5">
      <c r="A5" t="inlineStr">
        <is>
          <t>P1004</t>
        </is>
      </c>
      <c r="B5" t="inlineStr">
        <is>
          <t>Notebook Pack</t>
        </is>
      </c>
      <c r="C5" t="inlineStr">
        <is>
          <t>Stationery</t>
        </is>
      </c>
      <c r="D5" t="n">
        <v>7.5</v>
      </c>
    </row>
    <row r="6">
      <c r="A6" t="inlineStr">
        <is>
          <t>P1005</t>
        </is>
      </c>
      <c r="B6" t="inlineStr">
        <is>
          <t>Monitor 24-inch</t>
        </is>
      </c>
      <c r="C6" t="inlineStr">
        <is>
          <t>Electronics</t>
        </is>
      </c>
      <c r="D6" t="n">
        <v>189</v>
      </c>
    </row>
    <row r="7">
      <c r="A7" t="inlineStr">
        <is>
          <t>P1006</t>
        </is>
      </c>
      <c r="B7" t="inlineStr">
        <is>
          <t>Desk Lamp</t>
        </is>
      </c>
      <c r="C7" t="inlineStr">
        <is>
          <t>Furniture</t>
        </is>
      </c>
      <c r="D7" t="n">
        <v>28</v>
      </c>
    </row>
    <row r="8">
      <c r="A8" t="inlineStr">
        <is>
          <t>P1007</t>
        </is>
      </c>
      <c r="B8" t="inlineStr">
        <is>
          <t>Keyboard</t>
        </is>
      </c>
      <c r="C8" t="inlineStr">
        <is>
          <t>Accessories</t>
        </is>
      </c>
      <c r="D8" t="n">
        <v>24</v>
      </c>
    </row>
    <row r="9">
      <c r="A9" t="inlineStr">
        <is>
          <t>P1008</t>
        </is>
      </c>
      <c r="B9" t="inlineStr">
        <is>
          <t>Webcam HD</t>
        </is>
      </c>
      <c r="C9" t="inlineStr">
        <is>
          <t>Electronics</t>
        </is>
      </c>
      <c r="D9" t="n">
        <v>54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78" customWidth="1" min="3" max="3"/>
    <col width="28" customWidth="1" min="4" max="4"/>
    <col width="60" customWidth="1" min="5" max="5"/>
    <col width="13" customWidth="1" min="6" max="6"/>
    <col width="24" customWidth="1" min="7" max="7"/>
    <col width="65" customWidth="1" min="8" max="8"/>
  </cols>
  <sheetData>
    <row r="1" ht="30" customHeight="1">
      <c r="A1" s="1" t="inlineStr">
        <is>
          <t>Function / skill</t>
        </is>
      </c>
      <c r="B1" s="1" t="inlineStr">
        <is>
          <t>Input / example</t>
        </is>
      </c>
      <c r="C1" s="1" t="inlineStr">
        <is>
          <t>Formula to enter or review</t>
        </is>
      </c>
      <c r="D1" s="1" t="inlineStr">
        <is>
          <t>Expected result / what to check</t>
        </is>
      </c>
      <c r="E1" s="1" t="inlineStr">
        <is>
          <t>When to use</t>
        </is>
      </c>
      <c r="F1" s="1" t="n"/>
      <c r="G1" s="1" t="inlineStr">
        <is>
          <t>Live formula playground</t>
        </is>
      </c>
      <c r="H1" s="1" t="n"/>
    </row>
    <row r="2">
      <c r="A2" s="5" t="inlineStr">
        <is>
          <t>VLOOKUP</t>
        </is>
      </c>
      <c r="B2" s="5" t="inlineStr">
        <is>
          <t>Product ID in B2 (P1003)</t>
        </is>
      </c>
      <c r="C2" s="5">
        <f>VLOOKUP(B2,'Product Reference'!$A$2:$D$9,2,FALSE)</f>
        <v/>
      </c>
      <c r="D2" s="5" t="inlineStr">
        <is>
          <t>Office Chair</t>
        </is>
      </c>
      <c r="E2" s="5" t="inlineStr">
        <is>
          <t>Find a value in the first column of a table; exact match recommended.</t>
        </is>
      </c>
      <c r="G2" s="5" t="inlineStr">
        <is>
          <t>Product ID</t>
        </is>
      </c>
      <c r="H2" s="5" t="inlineStr">
        <is>
          <t>P1003</t>
        </is>
      </c>
    </row>
    <row r="3">
      <c r="A3" s="5" t="inlineStr">
        <is>
          <t>XLOOKUP</t>
        </is>
      </c>
      <c r="B3" s="5" t="inlineStr">
        <is>
          <t>Product ID in B3 (P1005)</t>
        </is>
      </c>
      <c r="C3" s="5">
        <f>XLOOKUP(B3,'Product Reference'!$A$2:$A$9,'Product Reference'!$B$2:$B$9,"Not found")</f>
        <v/>
      </c>
      <c r="D3" s="5" t="inlineStr">
        <is>
          <t>Monitor 24-inch</t>
        </is>
      </c>
      <c r="E3" s="5" t="inlineStr">
        <is>
          <t>Modern lookup; can return from either direction and has a not-found result.</t>
        </is>
      </c>
      <c r="G3" s="5" t="inlineStr">
        <is>
          <t>VLOOKUP product</t>
        </is>
      </c>
      <c r="H3" s="5">
        <f>IFERROR(VLOOKUP(H2,'Product Reference'!$A$2:$D$9,2,FALSE),"Not found")</f>
        <v/>
      </c>
    </row>
    <row r="4">
      <c r="A4" s="5" t="inlineStr">
        <is>
          <t>IF</t>
        </is>
      </c>
      <c r="B4" s="5" t="inlineStr">
        <is>
          <t>Sales value in B4 (250)</t>
        </is>
      </c>
      <c r="C4" s="5">
        <f>IF(B4&gt;=200,"High value","Standard")</f>
        <v/>
      </c>
      <c r="D4" s="5" t="inlineStr">
        <is>
          <t>High value</t>
        </is>
      </c>
      <c r="E4" s="5" t="inlineStr">
        <is>
          <t>Return one result when a condition is true and another when false.</t>
        </is>
      </c>
      <c r="G4" s="5" t="inlineStr">
        <is>
          <t>XLOOKUP product</t>
        </is>
      </c>
      <c r="H4" s="5">
        <f>XLOOKUP(H2,'Product Reference'!$A$2:$A$9,'Product Reference'!$B$2:$B$9,"Not found")</f>
        <v/>
      </c>
    </row>
    <row r="5">
      <c r="A5" s="5" t="inlineStr">
        <is>
          <t>SUMIFS</t>
        </is>
      </c>
      <c r="B5" s="5" t="inlineStr">
        <is>
          <t>Sum Sales for South region and Online channel</t>
        </is>
      </c>
      <c r="C5" s="5">
        <f>SUMIFS(Transactions!$I$2:$I$31,Transactions!$D$2:$D$31,"South",Transactions!$J$2:$J$31,"Online")</f>
        <v/>
      </c>
      <c r="D5" s="5" t="inlineStr">
        <is>
          <t>Calculated total</t>
        </is>
      </c>
      <c r="E5" s="5" t="inlineStr">
        <is>
          <t>Sum values that meet multiple criteria.</t>
        </is>
      </c>
      <c r="G5" s="5" t="inlineStr">
        <is>
          <t>Sales threshold</t>
        </is>
      </c>
      <c r="H5" s="5" t="n">
        <v>200</v>
      </c>
    </row>
    <row r="6">
      <c r="A6" s="5" t="inlineStr">
        <is>
          <t>COUNTIFS</t>
        </is>
      </c>
      <c r="B6" s="5" t="inlineStr">
        <is>
          <t>Count transactions in South region and Online channel</t>
        </is>
      </c>
      <c r="C6" s="5">
        <f>COUNTIFS(Transactions!$D$2:$D$31,"South",Transactions!$J$2:$J$31,"Online")</f>
        <v/>
      </c>
      <c r="D6" s="5" t="inlineStr">
        <is>
          <t>Calculated count</t>
        </is>
      </c>
      <c r="E6" s="5" t="inlineStr">
        <is>
          <t>Count rows that meet multiple criteria.</t>
        </is>
      </c>
      <c r="G6" s="5" t="inlineStr">
        <is>
          <t>IF label</t>
        </is>
      </c>
      <c r="H6" s="5">
        <f>IF(H5&gt;=200,"High value","Standard")</f>
        <v/>
      </c>
    </row>
    <row r="7">
      <c r="A7" s="5" t="inlineStr">
        <is>
          <t>LEFT</t>
        </is>
      </c>
      <c r="B7" s="5" t="inlineStr">
        <is>
          <t>Order ID ORD-1001 in B7</t>
        </is>
      </c>
      <c r="C7" s="5">
        <f>LEFT(B7,3)</f>
        <v/>
      </c>
      <c r="D7" s="5" t="inlineStr">
        <is>
          <t>ORD</t>
        </is>
      </c>
      <c r="E7" s="5" t="inlineStr">
        <is>
          <t>Extract characters from the left side of text.</t>
        </is>
      </c>
      <c r="G7" s="5" t="inlineStr">
        <is>
          <t>Region</t>
        </is>
      </c>
      <c r="H7" s="5" t="inlineStr">
        <is>
          <t>South</t>
        </is>
      </c>
    </row>
    <row r="8">
      <c r="A8" s="5" t="inlineStr">
        <is>
          <t>RIGHT</t>
        </is>
      </c>
      <c r="B8" s="5" t="inlineStr">
        <is>
          <t>Email in B8</t>
        </is>
      </c>
      <c r="C8" s="5">
        <f>RIGHT(B8,11)</f>
        <v/>
      </c>
      <c r="D8" s="5" t="inlineStr">
        <is>
          <t>example.com</t>
        </is>
      </c>
      <c r="E8" s="5" t="inlineStr">
        <is>
          <t>Extract characters from the right side of text.</t>
        </is>
      </c>
      <c r="G8" s="5" t="inlineStr">
        <is>
          <t>Channel</t>
        </is>
      </c>
      <c r="H8" s="5" t="inlineStr">
        <is>
          <t>Online</t>
        </is>
      </c>
    </row>
    <row r="9">
      <c r="A9" s="5" t="inlineStr">
        <is>
          <t>MID</t>
        </is>
      </c>
      <c r="B9" s="5" t="inlineStr">
        <is>
          <t>Order ID ORD-1001 in B9</t>
        </is>
      </c>
      <c r="C9" s="5">
        <f>MID(B9,5,4)</f>
        <v/>
      </c>
      <c r="D9" s="5" t="inlineStr">
        <is>
          <t>1001</t>
        </is>
      </c>
      <c r="E9" s="5" t="inlineStr">
        <is>
          <t>Extract text from a specified position.</t>
        </is>
      </c>
      <c r="G9" s="5" t="inlineStr">
        <is>
          <t>SUMIFS sales</t>
        </is>
      </c>
      <c r="H9" s="5">
        <f>SUMIFS(Transactions!$I$2:$I$31,Transactions!$D$2:$D$31,H7,Transactions!$J$2:$J$31,H8)</f>
        <v/>
      </c>
    </row>
    <row r="10">
      <c r="A10" s="5" t="inlineStr">
        <is>
          <t>TRIM</t>
        </is>
      </c>
      <c r="B10" s="5" t="inlineStr">
        <is>
          <t>Text with extra spaces in B10</t>
        </is>
      </c>
      <c r="C10" s="5">
        <f>TRIM(B10)</f>
        <v/>
      </c>
      <c r="D10" s="5" t="inlineStr">
        <is>
          <t>Manasa Rao</t>
        </is>
      </c>
      <c r="E10" s="5" t="inlineStr">
        <is>
          <t>Remove leading, trailing, and repeated spaces.</t>
        </is>
      </c>
      <c r="G10" s="5" t="inlineStr">
        <is>
          <t>COUNTIFS rows</t>
        </is>
      </c>
      <c r="H10" s="5">
        <f>COUNTIFS(Transactions!$D$2:$D$31,H7,Transactions!$J$2:$J$31,H8)</f>
        <v/>
      </c>
    </row>
    <row r="11">
      <c r="A11" s="5" t="inlineStr">
        <is>
          <t>CONCAT</t>
        </is>
      </c>
      <c r="B11" s="5" t="inlineStr">
        <is>
          <t>First and last name in B11 and C11</t>
        </is>
      </c>
      <c r="C11" s="5">
        <f>CONCAT(B11," ",C11)</f>
        <v/>
      </c>
      <c r="D11" s="5" t="inlineStr">
        <is>
          <t>Manasa Rao</t>
        </is>
      </c>
      <c r="E11" s="5" t="inlineStr">
        <is>
          <t>Join text values together.</t>
        </is>
      </c>
      <c r="G11" s="5" t="inlineStr">
        <is>
          <t>Text sample</t>
        </is>
      </c>
      <c r="H11" s="5" t="inlineStr">
        <is>
          <t xml:space="preserve">  Manasa   Rao  </t>
        </is>
      </c>
    </row>
    <row r="12">
      <c r="A12" s="5" t="inlineStr">
        <is>
          <t>IFERROR</t>
        </is>
      </c>
      <c r="B12" s="5" t="inlineStr">
        <is>
          <t>Lookup a missing ID in B12</t>
        </is>
      </c>
      <c r="C12" s="5">
        <f>IFERROR(VLOOKUP(B12,'Product Reference'!$A$2:$D$9,2,FALSE),"Product not found")</f>
        <v/>
      </c>
      <c r="D12" s="5" t="inlineStr">
        <is>
          <t>Product not found</t>
        </is>
      </c>
      <c r="E12" s="5" t="inlineStr">
        <is>
          <t>Show a helpful result instead of a formula error.</t>
        </is>
      </c>
      <c r="G12" s="5" t="inlineStr">
        <is>
          <t>TRIM result</t>
        </is>
      </c>
      <c r="H12" s="5">
        <f>TRIM(H11)</f>
        <v/>
      </c>
    </row>
    <row r="13">
      <c r="A13" s="5" t="inlineStr">
        <is>
          <t>INDEX/MATCH</t>
        </is>
      </c>
      <c r="B13" s="5" t="inlineStr">
        <is>
          <t>Product ID in B13 (P1007)</t>
        </is>
      </c>
      <c r="C13" s="5">
        <f>INDEX('Product Reference'!$B$2:$B$9,MATCH(B13,'Product Reference'!$A$2:$A$9,0))</f>
        <v/>
      </c>
      <c r="D13" s="5" t="inlineStr">
        <is>
          <t>Keyboard</t>
        </is>
      </c>
      <c r="E13" s="5" t="inlineStr">
        <is>
          <t>Flexible lookup alternative, useful in older Excel versions.</t>
        </is>
      </c>
      <c r="G13" s="5" t="inlineStr">
        <is>
          <t>Order ID</t>
        </is>
      </c>
      <c r="H13" s="5" t="inlineStr">
        <is>
          <t>ORD-1007</t>
        </is>
      </c>
    </row>
    <row r="14">
      <c r="A14" s="5" t="n"/>
      <c r="B14" s="5" t="n"/>
      <c r="C14" s="5" t="n"/>
      <c r="D14" s="5" t="n"/>
      <c r="E14" s="5" t="n"/>
      <c r="G14" s="5" t="inlineStr">
        <is>
          <t>MID result</t>
        </is>
      </c>
      <c r="H14" s="5">
        <f>MID(H13,5,4)</f>
        <v/>
      </c>
    </row>
    <row r="15">
      <c r="A15" s="6" t="inlineStr">
        <is>
          <t>Compatibility note</t>
        </is>
      </c>
      <c r="B15" s="7" t="inlineStr">
        <is>
          <t>XLOOKUP requires a modern Excel version (Microsoft 365 / Excel 2021+). If unavailable, use INDEX/MATCH or VLOOKUP.</t>
        </is>
      </c>
      <c r="C15" s="5" t="n"/>
      <c r="D15" s="5" t="n"/>
      <c r="E15" s="5" t="n"/>
      <c r="G15" s="5" t="inlineStr">
        <is>
          <t>Missing Product ID</t>
        </is>
      </c>
      <c r="H15" s="5" t="inlineStr">
        <is>
          <t>P9999</t>
        </is>
      </c>
    </row>
    <row r="16">
      <c r="A16" s="5" t="n"/>
      <c r="B16" s="5" t="n"/>
      <c r="C16" s="5" t="n"/>
      <c r="D16" s="5" t="n"/>
      <c r="E16" s="5" t="n"/>
      <c r="G16" s="5" t="inlineStr">
        <is>
          <t>IFERROR lookup</t>
        </is>
      </c>
      <c r="H16" s="5">
        <f>IFERROR(VLOOKUP(H15,'Product Reference'!$A$2:$D$9,2,FALSE),"Product not found")</f>
        <v/>
      </c>
    </row>
    <row r="17">
      <c r="A17" s="5" t="n"/>
      <c r="B17" s="5" t="n"/>
      <c r="C17" s="5" t="n"/>
      <c r="D17" s="5" t="n"/>
      <c r="E17" s="5" t="n"/>
      <c r="G17" s="5" t="n"/>
      <c r="H17" s="5" t="n"/>
    </row>
    <row r="18">
      <c r="A18" s="5" t="n"/>
      <c r="B18" s="5" t="n"/>
      <c r="C18" s="5" t="n"/>
      <c r="D18" s="5" t="n"/>
      <c r="E18" s="5" t="n"/>
      <c r="G18" s="5" t="inlineStr">
        <is>
          <t>Edge-case tests</t>
        </is>
      </c>
      <c r="H18" s="5" t="n"/>
    </row>
    <row r="19">
      <c r="A19" s="5" t="n"/>
      <c r="B19" s="5" t="n"/>
      <c r="C19" s="5" t="n"/>
      <c r="D19" s="5" t="n"/>
      <c r="E19" s="5" t="n"/>
      <c r="G19" s="5" t="inlineStr">
        <is>
          <t>Blank input</t>
        </is>
      </c>
      <c r="H19" s="5">
        <f>IF(H20="","Blank input detected","Value provided")</f>
        <v/>
      </c>
    </row>
    <row r="20">
      <c r="A20" s="5" t="n"/>
      <c r="B20" s="5" t="n"/>
      <c r="C20" s="5" t="n"/>
      <c r="D20" s="5" t="n"/>
      <c r="E20" s="5" t="n"/>
      <c r="G20" s="5" t="n"/>
      <c r="H20" s="5" t="inlineStr"/>
    </row>
    <row r="21">
      <c r="A21" s="5" t="n"/>
      <c r="B21" s="5" t="n"/>
      <c r="C21" s="5" t="n"/>
      <c r="D21" s="5" t="n"/>
      <c r="E21" s="5" t="n"/>
      <c r="G21" s="5" t="inlineStr">
        <is>
          <t>Text vs number</t>
        </is>
      </c>
      <c r="H21" s="5" t="inlineStr">
        <is>
          <t>1001 (text)</t>
        </is>
      </c>
    </row>
    <row r="22">
      <c r="A22" s="5" t="n"/>
      <c r="B22" s="5" t="n"/>
      <c r="C22" s="5" t="n"/>
      <c r="D22" s="5" t="n"/>
      <c r="E22" s="5" t="n"/>
      <c r="G22" s="5" t="inlineStr">
        <is>
          <t>Tip</t>
        </is>
      </c>
      <c r="H22" s="5" t="inlineStr">
        <is>
          <t>If lookup fails, check spaces and data types.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0" customWidth="1" min="2" max="2"/>
  </cols>
  <sheetData>
    <row r="1" ht="30" customHeight="1">
      <c r="A1" s="1" t="inlineStr">
        <is>
          <t>Question</t>
        </is>
      </c>
      <c r="B1" s="1" t="inlineStr">
        <is>
          <t>Short answer</t>
        </is>
      </c>
    </row>
    <row r="2">
      <c r="A2" s="5" t="inlineStr">
        <is>
          <t>What's the difference between SUMIF and SUMIFS?</t>
        </is>
      </c>
      <c r="B2" s="5" t="inlineStr">
        <is>
          <t>SUMIF applies one criterion; SUMIFS supports multiple criteria. In SUMIFS, the sum range is the first argument.</t>
        </is>
      </c>
    </row>
    <row r="3">
      <c r="A3" s="5" t="inlineStr">
        <is>
          <t>How does XLOOKUP improve on VLOOKUP?</t>
        </is>
      </c>
      <c r="B3" s="5" t="inlineStr">
        <is>
          <t>XLOOKUP can look left or right, uses separate lookup and return arrays, supports a built-in not-found result, and defaults to exact match. It is not available in some older Excel versions.</t>
        </is>
      </c>
    </row>
    <row r="4">
      <c r="A4" s="5" t="inlineStr">
        <is>
          <t>When would you use INDEX/MATCH instead of VLOOKUP?</t>
        </is>
      </c>
      <c r="B4" s="5" t="inlineStr">
        <is>
          <t>INDEX/MATCH can return values from columns to the left or right and works in older Excel versions. It can also be less fragile when columns are inserted into a table.</t>
        </is>
      </c>
    </row>
    <row r="5">
      <c r="A5" s="5" t="inlineStr">
        <is>
          <t>What are common formula edge cases?</t>
        </is>
      </c>
      <c r="B5" s="5" t="inlineStr">
        <is>
          <t>Missing lookup keys, extra spaces, blank cells, numbers stored as text, duplicate keys, and ranges that do not align. Test these deliberately.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2026-10-25T06:21:55Z</dcterms:created>
  <dcterms:modified xmlns:dcterms="http://purl.org/dc/terms/" xmlns:xsi="http://www.w3.org/2001/XMLSchema-instance" xsi:type="dcterms:W3CDTF">2026-10-25T06:21:55Z</dcterms:modified>
</cp:coreProperties>
</file>